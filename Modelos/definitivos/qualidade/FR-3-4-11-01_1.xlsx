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elat\Downloads\"/>
    </mc:Choice>
  </mc:AlternateContent>
  <xr:revisionPtr revIDLastSave="0" documentId="13_ncr:1_{2D3EEEF1-928E-4709-B7B2-D2E9EA34B78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Registro" sheetId="1" r:id="rId1"/>
    <sheet name="Legen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" i="1" l="1"/>
  <c r="K7" i="1" s="1"/>
  <c r="J6" i="1"/>
  <c r="K6" i="1" s="1"/>
  <c r="J5" i="1"/>
  <c r="K5" i="1" s="1"/>
  <c r="J4" i="1"/>
  <c r="K4" i="1" s="1"/>
  <c r="J17" i="1"/>
  <c r="K17" i="1" s="1"/>
  <c r="J13" i="1"/>
  <c r="K13" i="1" s="1"/>
  <c r="J12" i="1"/>
  <c r="K12" i="1" s="1"/>
</calcChain>
</file>

<file path=xl/sharedStrings.xml><?xml version="1.0" encoding="utf-8"?>
<sst xmlns="http://schemas.openxmlformats.org/spreadsheetml/2006/main" count="108" uniqueCount="67">
  <si>
    <t>FR-3-4-11-01 — REGISTRO DE MELHORIA, DESVIO E LIÇÃO APRENDIDA</t>
  </si>
  <si>
    <t>FILTROVALI  |  SGQ  |  Processo N-3-4-11  —  Gestão de Melhorias, Desvios e Lições Aprendidas        Campos marcados em cinza são de preenchimento automático.</t>
  </si>
  <si>
    <t>Nº Registro</t>
  </si>
  <si>
    <t>Data do Registro</t>
  </si>
  <si>
    <t>Tipo</t>
  </si>
  <si>
    <t>Origem</t>
  </si>
  <si>
    <t>Obra / Projeto</t>
  </si>
  <si>
    <t>Data do Evento</t>
  </si>
  <si>
    <t>Natureza (categoria)</t>
  </si>
  <si>
    <t>Descrição do evento</t>
  </si>
  <si>
    <t>Impacto</t>
  </si>
  <si>
    <t>Ocorrências 12m
(automático)</t>
  </si>
  <si>
    <t>Recorrente?
(automático)</t>
  </si>
  <si>
    <t>RNC vinculada</t>
  </si>
  <si>
    <t>Disposição</t>
  </si>
  <si>
    <t>Ação definida</t>
  </si>
  <si>
    <t>Responsável
pela ação</t>
  </si>
  <si>
    <t>Prazo da ação</t>
  </si>
  <si>
    <t>Evidência
(link/anexo)</t>
  </si>
  <si>
    <t>Verificação do resultado</t>
  </si>
  <si>
    <t>Status</t>
  </si>
  <si>
    <t>D-001/26</t>
  </si>
  <si>
    <t>Desvio</t>
  </si>
  <si>
    <t>Reunião semanal Operação</t>
  </si>
  <si>
    <t>D-002/26</t>
  </si>
  <si>
    <t>Baixo</t>
  </si>
  <si>
    <t>Monitorar</t>
  </si>
  <si>
    <t>LEGENDA E INSTRUÇÕES DE PREENCHIMENTO — FR-3-4-11-01</t>
  </si>
  <si>
    <t>Campo</t>
  </si>
  <si>
    <t>O que preencher</t>
  </si>
  <si>
    <t>Preenchimento</t>
  </si>
  <si>
    <t>Código sequencial por tipo/ano. D = Desvio, L = Lição, M = Melhoria, I = Indicador. Ex.: D-001/26.</t>
  </si>
  <si>
    <t>Manual</t>
  </si>
  <si>
    <t>Data em que o registro foi lançado no sistema.</t>
  </si>
  <si>
    <t>Lista suspensa</t>
  </si>
  <si>
    <t>De onde veio: reunião semanal, encerramento de obra, sugestão de colaborador, RMI, Análise Crítica, auditoria.</t>
  </si>
  <si>
    <t>Obra ou projeto onde ocorreu. 'Interno/SGQ' quando não for de obra.</t>
  </si>
  <si>
    <t>Quando o fato ocorreu (não a data do registro). Base do cálculo de recorrência.</t>
  </si>
  <si>
    <t>Categoria padronizada do evento (ex.: 'Atraso de mobilização'). É o que agrupa eventos iguais para contar recorrência. Use sempre o mesmo texto para a mesma categoria.</t>
  </si>
  <si>
    <t>Manual — padronizar</t>
  </si>
  <si>
    <t>O que aconteceu, em texto livre.</t>
  </si>
  <si>
    <t>Ocorrências 12m</t>
  </si>
  <si>
    <t>Quantas vezes essa mesma Natureza apareceu nos últimos 12 meses. Calculado automaticamente a partir da Natureza e da Data do Evento.</t>
  </si>
  <si>
    <t>AUTOMÁTICO</t>
  </si>
  <si>
    <t>Recorrente?</t>
  </si>
  <si>
    <t>'SIM' quando houver 3 ou mais ocorrências em 12 meses. Dispara o tratamento obrigatório (6.3.4).</t>
  </si>
  <si>
    <t>Nº da RNC (FR-3-4-12-01) quando o desvio decorrer de uma não conformidade já aberta. '—' se não houver.</t>
  </si>
  <si>
    <t>Plano de ação, quando a disposição for 'Tratar'. '—' nos demais casos.</t>
  </si>
  <si>
    <t>Responsável pela ação</t>
  </si>
  <si>
    <t>Quem executa a ação.</t>
  </si>
  <si>
    <t>Data-limite para a ação (até 30 dias do registro).</t>
  </si>
  <si>
    <t>Evidência</t>
  </si>
  <si>
    <t>Link ou anexo que comprova o evento ou a ação (RDO, foto, e-mail, relatório de LA).</t>
  </si>
  <si>
    <t>Confirmação, após a implementação, de que o resultado foi alcançado (até 90 dias). '—' quando não houve ação.</t>
  </si>
  <si>
    <t>Aberto, Em triagem, Em observação, Em ação, Fechado ou Divulgado.</t>
  </si>
  <si>
    <t>Regra de recorrência: 3 ou mais eventos de mesma Natureza em 12 meses tornam o tratamento obrigatório, mesmo que o impacto seja baixo. Por isso o campo Natureza deve ser escrito sempre da mesma forma para eventos iguais.</t>
  </si>
  <si>
    <t>Stand By</t>
  </si>
  <si>
    <t>Houve um acidente com um colaborador da Luz e as atividades ficaram paradas por 1 dia</t>
  </si>
  <si>
    <t>Reclamação de Cliente</t>
  </si>
  <si>
    <t>Dano a propriedade interna</t>
  </si>
  <si>
    <t>A lona rasgou durante a mobilização causando retrabalho e dificuldade para descarrer</t>
  </si>
  <si>
    <t>-</t>
  </si>
  <si>
    <t>D-003/26</t>
  </si>
  <si>
    <t>Peça do Valdecir</t>
  </si>
  <si>
    <t>Alto / Médio / Baixo</t>
  </si>
  <si>
    <t>Tratar, Monitorar ou Arquivar/Divulgar</t>
  </si>
  <si>
    <t>Desvio, Lição Aprendida, Incidente, Reclamação de Cliente, Melhoria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</si>
</sst>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5A6B7B"/>
      <name val="Arial"/>
      <charset val="1"/>
    </font>
    <font>
      <b/>
      <sz val="9"/>
      <color rgb="FFFFFFFF"/>
      <name val="Arial"/>
      <charset val="1"/>
    </font>
    <font>
      <sz val="9"/>
      <color rgb="FF1C2733"/>
      <name val="Arial"/>
      <charset val="1"/>
    </font>
    <font>
      <b/>
      <sz val="10"/>
      <color rgb="FFFFFFFF"/>
      <name val="Arial"/>
      <charset val="1"/>
    </font>
    <font>
      <b/>
      <sz val="9"/>
      <color rgb="FF1C2733"/>
      <name val="Arial"/>
      <charset val="1"/>
    </font>
    <font>
      <b/>
      <sz val="9"/>
      <color rgb="FF8A6D00"/>
      <name val="Arial"/>
      <charset val="1"/>
    </font>
    <font>
      <sz val="9"/>
      <color rgb="FF8A6D00"/>
      <name val="Arial"/>
      <charset val="1"/>
    </font>
    <font>
      <sz val="9"/>
      <color rgb="FF1C27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350"/>
        <bgColor rgb="FF1C2733"/>
      </patternFill>
    </fill>
    <fill>
      <patternFill patternType="solid">
        <fgColor rgb="FFEEF2F7"/>
        <bgColor rgb="FFFFFFFF"/>
      </patternFill>
    </fill>
    <fill>
      <patternFill patternType="solid">
        <fgColor rgb="FF33475B"/>
        <bgColor rgb="FF1F3350"/>
      </patternFill>
    </fill>
    <fill>
      <patternFill patternType="solid">
        <fgColor rgb="FFFFFFFF"/>
        <bgColor rgb="FFEEF2F7"/>
      </patternFill>
    </fill>
    <fill>
      <patternFill patternType="solid">
        <fgColor rgb="FFFFF3CB"/>
        <bgColor rgb="FFEEF2F7"/>
      </patternFill>
    </fill>
  </fills>
  <borders count="3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14" fontId="4" fillId="5" borderId="2" xfId="0" applyNumberFormat="1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B8C2CC"/>
      <rgbColor rgb="FF808080"/>
      <rgbColor rgb="FF9999FF"/>
      <rgbColor rgb="FF993366"/>
      <rgbColor rgb="FFFFF3CB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B"/>
      <rgbColor rgb="FF969696"/>
      <rgbColor rgb="FF003366"/>
      <rgbColor rgb="FF339966"/>
      <rgbColor rgb="FF003300"/>
      <rgbColor rgb="FF1C2733"/>
      <rgbColor rgb="FF993300"/>
      <rgbColor rgb="FF993366"/>
      <rgbColor rgb="FF33475B"/>
      <rgbColor rgb="FF1F33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S17"/>
  <sheetViews>
    <sheetView showGridLines="0" tabSelected="1" zoomScale="90" zoomScaleNormal="90" workbookViewId="0">
      <pane ySplit="3" topLeftCell="A4" activePane="bottomLeft" state="frozen"/>
      <selection pane="bottomLeft" activeCell="D8" sqref="D8"/>
    </sheetView>
  </sheetViews>
  <sheetFormatPr defaultColWidth="8.7109375" defaultRowHeight="15" x14ac:dyDescent="0.25"/>
  <cols>
    <col min="1" max="1" width="12" customWidth="1"/>
    <col min="2" max="2" width="14" customWidth="1"/>
    <col min="3" max="3" width="15" customWidth="1"/>
    <col min="4" max="4" width="20" customWidth="1"/>
    <col min="5" max="5" width="18" customWidth="1"/>
    <col min="6" max="6" width="14" customWidth="1"/>
    <col min="7" max="7" width="24" customWidth="1"/>
    <col min="8" max="8" width="40" customWidth="1"/>
    <col min="9" max="9" width="11" customWidth="1"/>
    <col min="10" max="12" width="13" customWidth="1"/>
    <col min="13" max="13" width="15" customWidth="1"/>
    <col min="14" max="14" width="34" customWidth="1"/>
    <col min="15" max="15" width="16" customWidth="1"/>
    <col min="16" max="16" width="13" customWidth="1"/>
    <col min="17" max="17" width="18" customWidth="1"/>
    <col min="18" max="18" width="30" customWidth="1"/>
    <col min="19" max="19" width="14" customWidth="1"/>
  </cols>
  <sheetData>
    <row r="1" spans="1:19" ht="25.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5.75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33.7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</row>
    <row r="4" spans="1:19" ht="57.75" customHeight="1" x14ac:dyDescent="0.25">
      <c r="A4" s="2" t="s">
        <v>21</v>
      </c>
      <c r="B4" s="3">
        <v>46220</v>
      </c>
      <c r="C4" s="2" t="s">
        <v>22</v>
      </c>
      <c r="D4" s="4" t="s">
        <v>23</v>
      </c>
      <c r="E4" s="4">
        <v>5794</v>
      </c>
      <c r="F4" s="3">
        <v>46220</v>
      </c>
      <c r="G4" s="4" t="s">
        <v>58</v>
      </c>
      <c r="H4" s="4"/>
      <c r="I4" s="2" t="s">
        <v>25</v>
      </c>
      <c r="J4" s="5">
        <f t="shared" ref="J4:J7" si="0">IF(G4="","",COUNTIFS($G$4:$G$1002,G4,$F$4:$F$1002,"&gt;="&amp;(F4-365),$F$4:$F$1002,"&lt;="&amp;F4))</f>
        <v>1</v>
      </c>
      <c r="K4" s="5" t="str">
        <f t="shared" ref="K4:K17" si="1">IF(J4="","",IF(J4&gt;=3,"SIM","não"))</f>
        <v>não</v>
      </c>
      <c r="L4" s="2" t="s">
        <v>61</v>
      </c>
      <c r="M4" s="4" t="s">
        <v>26</v>
      </c>
      <c r="N4" s="4"/>
      <c r="O4" s="4"/>
      <c r="P4" s="3"/>
      <c r="Q4" s="4"/>
      <c r="R4" s="4"/>
      <c r="S4" s="2"/>
    </row>
    <row r="5" spans="1:19" ht="57.75" customHeight="1" x14ac:dyDescent="0.25">
      <c r="A5" s="2" t="s">
        <v>24</v>
      </c>
      <c r="B5" s="3">
        <v>46220</v>
      </c>
      <c r="C5" s="2" t="s">
        <v>22</v>
      </c>
      <c r="D5" s="4" t="s">
        <v>23</v>
      </c>
      <c r="E5" s="4">
        <v>5775</v>
      </c>
      <c r="F5" s="3">
        <v>46218</v>
      </c>
      <c r="G5" s="4" t="s">
        <v>56</v>
      </c>
      <c r="H5" s="4" t="s">
        <v>57</v>
      </c>
      <c r="I5" s="2" t="s">
        <v>25</v>
      </c>
      <c r="J5" s="5">
        <f t="shared" si="0"/>
        <v>1</v>
      </c>
      <c r="K5" s="5" t="str">
        <f t="shared" si="1"/>
        <v>não</v>
      </c>
      <c r="L5" s="2" t="s">
        <v>61</v>
      </c>
      <c r="M5" s="4" t="s">
        <v>26</v>
      </c>
      <c r="N5" s="4"/>
      <c r="O5" s="4"/>
      <c r="P5" s="2"/>
      <c r="Q5" s="4"/>
      <c r="R5" s="4"/>
      <c r="S5" s="2"/>
    </row>
    <row r="6" spans="1:19" ht="57.75" customHeight="1" x14ac:dyDescent="0.25">
      <c r="A6" s="2" t="s">
        <v>62</v>
      </c>
      <c r="B6" s="3">
        <v>46220</v>
      </c>
      <c r="C6" s="2" t="s">
        <v>22</v>
      </c>
      <c r="D6" s="4" t="s">
        <v>23</v>
      </c>
      <c r="E6" s="4">
        <v>5800</v>
      </c>
      <c r="F6" s="3">
        <v>46219</v>
      </c>
      <c r="G6" s="4" t="s">
        <v>59</v>
      </c>
      <c r="H6" s="4" t="s">
        <v>60</v>
      </c>
      <c r="I6" s="2" t="s">
        <v>25</v>
      </c>
      <c r="J6" s="5">
        <f t="shared" si="0"/>
        <v>1</v>
      </c>
      <c r="K6" s="5" t="str">
        <f t="shared" si="1"/>
        <v>não</v>
      </c>
      <c r="L6" s="2" t="s">
        <v>61</v>
      </c>
      <c r="M6" s="4" t="s">
        <v>26</v>
      </c>
      <c r="N6" s="4"/>
      <c r="O6" s="4"/>
      <c r="P6" s="3"/>
      <c r="Q6" s="4"/>
      <c r="R6" s="4"/>
      <c r="S6" s="2"/>
    </row>
    <row r="7" spans="1:19" ht="30" customHeight="1" x14ac:dyDescent="0.25">
      <c r="A7" s="2"/>
      <c r="B7" s="2"/>
      <c r="C7" s="2" t="s">
        <v>22</v>
      </c>
      <c r="D7" s="4"/>
      <c r="E7" s="4"/>
      <c r="F7" s="2"/>
      <c r="G7" s="4"/>
      <c r="H7" s="4" t="s">
        <v>63</v>
      </c>
      <c r="I7" s="2"/>
      <c r="J7" s="5" t="str">
        <f t="shared" si="0"/>
        <v/>
      </c>
      <c r="K7" s="5" t="str">
        <f t="shared" si="1"/>
        <v/>
      </c>
      <c r="L7" s="2"/>
      <c r="M7" s="4"/>
      <c r="N7" s="4"/>
      <c r="O7" s="4"/>
      <c r="P7" s="2"/>
      <c r="Q7" s="4"/>
      <c r="R7" s="4"/>
      <c r="S7" s="2"/>
    </row>
    <row r="8" spans="1:19" ht="30" customHeight="1" x14ac:dyDescent="0.25">
      <c r="A8" s="2"/>
      <c r="B8" s="3"/>
      <c r="C8" s="2"/>
      <c r="D8" s="4"/>
      <c r="E8" s="4"/>
      <c r="F8" s="3"/>
      <c r="G8" s="4"/>
      <c r="H8" s="4"/>
      <c r="I8" s="2"/>
      <c r="J8" s="5"/>
      <c r="K8" s="5"/>
      <c r="L8" s="2"/>
      <c r="M8" s="4"/>
      <c r="N8" s="4"/>
      <c r="O8" s="4"/>
      <c r="P8" s="2"/>
      <c r="Q8" s="4"/>
      <c r="R8" s="4"/>
      <c r="S8" s="2"/>
    </row>
    <row r="9" spans="1:19" ht="30" customHeight="1" x14ac:dyDescent="0.25">
      <c r="A9" s="2"/>
      <c r="B9" s="3"/>
      <c r="C9" s="2"/>
      <c r="D9" s="4"/>
      <c r="E9" s="4"/>
      <c r="F9" s="3"/>
      <c r="G9" s="4"/>
      <c r="H9" s="4"/>
      <c r="I9" s="2"/>
      <c r="J9" s="5"/>
      <c r="K9" s="5"/>
      <c r="L9" s="2"/>
      <c r="M9" s="4"/>
      <c r="N9" s="4"/>
      <c r="O9" s="4"/>
      <c r="P9" s="2"/>
      <c r="Q9" s="4"/>
      <c r="R9" s="4"/>
      <c r="S9" s="2"/>
    </row>
    <row r="10" spans="1:19" ht="30" customHeight="1" x14ac:dyDescent="0.25">
      <c r="A10" s="2"/>
      <c r="B10" s="3"/>
      <c r="C10" s="2"/>
      <c r="D10" s="4"/>
      <c r="E10" s="4"/>
      <c r="F10" s="3"/>
      <c r="G10" s="4"/>
      <c r="H10" s="4"/>
      <c r="I10" s="2"/>
      <c r="J10" s="5"/>
      <c r="K10" s="5"/>
      <c r="L10" s="2"/>
      <c r="M10" s="4"/>
      <c r="N10" s="4"/>
      <c r="O10" s="4"/>
      <c r="P10" s="2"/>
      <c r="Q10" s="4"/>
      <c r="R10" s="4"/>
      <c r="S10" s="2"/>
    </row>
    <row r="11" spans="1:19" ht="30" customHeight="1" x14ac:dyDescent="0.25">
      <c r="A11" s="2"/>
      <c r="B11" s="2"/>
      <c r="C11" s="2"/>
      <c r="D11" s="4"/>
      <c r="E11" s="4"/>
      <c r="F11" s="2"/>
      <c r="G11" s="4"/>
      <c r="H11" s="4"/>
      <c r="I11" s="2"/>
      <c r="J11" s="5"/>
      <c r="K11" s="5"/>
      <c r="L11" s="2"/>
      <c r="M11" s="4"/>
      <c r="N11" s="4"/>
      <c r="O11" s="4"/>
      <c r="P11" s="2"/>
      <c r="Q11" s="4"/>
      <c r="R11" s="4"/>
      <c r="S11" s="2"/>
    </row>
    <row r="12" spans="1:19" ht="30" customHeight="1" x14ac:dyDescent="0.25">
      <c r="A12" s="2"/>
      <c r="B12" s="2"/>
      <c r="C12" s="2"/>
      <c r="D12" s="4"/>
      <c r="E12" s="4"/>
      <c r="F12" s="2"/>
      <c r="G12" s="4"/>
      <c r="H12" s="4"/>
      <c r="I12" s="2"/>
      <c r="J12" s="5" t="str">
        <f t="shared" ref="J12:J17" si="2">IF(G12="","",COUNTIFS($G$4:$G$1002,G12,$F$4:$F$1002,"&gt;="&amp;(F12-365),$F$4:$F$1002,"&lt;="&amp;F12))</f>
        <v/>
      </c>
      <c r="K12" s="5" t="str">
        <f t="shared" si="1"/>
        <v/>
      </c>
      <c r="L12" s="2"/>
      <c r="M12" s="4"/>
      <c r="N12" s="4"/>
      <c r="O12" s="4"/>
      <c r="P12" s="2"/>
      <c r="Q12" s="4"/>
      <c r="R12" s="4"/>
      <c r="S12" s="2"/>
    </row>
    <row r="13" spans="1:19" ht="30" customHeight="1" x14ac:dyDescent="0.25">
      <c r="A13" s="2"/>
      <c r="B13" s="2"/>
      <c r="C13" s="2"/>
      <c r="D13" s="4"/>
      <c r="E13" s="4"/>
      <c r="F13" s="2"/>
      <c r="G13" s="4"/>
      <c r="H13" s="4"/>
      <c r="I13" s="2"/>
      <c r="J13" s="5" t="str">
        <f t="shared" si="2"/>
        <v/>
      </c>
      <c r="K13" s="5" t="str">
        <f t="shared" si="1"/>
        <v/>
      </c>
      <c r="L13" s="2"/>
      <c r="M13" s="4"/>
      <c r="N13" s="4"/>
      <c r="O13" s="4"/>
      <c r="P13" s="2"/>
      <c r="Q13" s="4"/>
      <c r="R13" s="4"/>
      <c r="S13" s="2"/>
    </row>
    <row r="14" spans="1:19" ht="30" customHeight="1" x14ac:dyDescent="0.25">
      <c r="A14" s="2"/>
      <c r="B14" s="2"/>
      <c r="C14" s="2"/>
      <c r="D14" s="4"/>
      <c r="E14" s="4"/>
      <c r="F14" s="2"/>
      <c r="G14" s="4"/>
      <c r="H14" s="4"/>
      <c r="I14" s="2"/>
      <c r="J14" s="5"/>
      <c r="K14" s="5"/>
      <c r="L14" s="2"/>
      <c r="M14" s="4"/>
      <c r="N14" s="4"/>
      <c r="O14" s="4"/>
      <c r="P14" s="2"/>
      <c r="Q14" s="4"/>
      <c r="R14" s="4"/>
      <c r="S14" s="2"/>
    </row>
    <row r="15" spans="1:19" ht="30" customHeight="1" x14ac:dyDescent="0.25">
      <c r="A15" s="2"/>
      <c r="B15" s="2"/>
      <c r="C15" s="2"/>
      <c r="D15" s="4"/>
      <c r="E15" s="4"/>
      <c r="F15" s="2"/>
      <c r="G15" s="4"/>
      <c r="H15" s="4"/>
      <c r="I15" s="2"/>
      <c r="J15" s="5"/>
      <c r="K15" s="5"/>
      <c r="L15" s="2"/>
      <c r="M15" s="4"/>
      <c r="N15" s="4"/>
      <c r="O15" s="4"/>
      <c r="P15" s="2"/>
      <c r="Q15" s="4"/>
      <c r="R15" s="4"/>
      <c r="S15" s="2"/>
    </row>
    <row r="16" spans="1:19" ht="30" customHeight="1" x14ac:dyDescent="0.25">
      <c r="A16" s="2"/>
      <c r="B16" s="2"/>
      <c r="C16" s="2"/>
      <c r="D16" s="4"/>
      <c r="E16" s="4"/>
      <c r="F16" s="2"/>
      <c r="G16" s="4"/>
      <c r="H16" s="4"/>
      <c r="I16" s="2"/>
      <c r="J16" s="5"/>
      <c r="K16" s="5"/>
      <c r="L16" s="2"/>
      <c r="M16" s="4"/>
      <c r="N16" s="4"/>
      <c r="O16" s="4"/>
      <c r="P16" s="2"/>
      <c r="Q16" s="4"/>
      <c r="R16" s="4"/>
      <c r="S16" s="2"/>
    </row>
    <row r="17" spans="1:19" ht="30" customHeight="1" x14ac:dyDescent="0.25">
      <c r="A17" s="2"/>
      <c r="B17" s="2"/>
      <c r="C17" s="2"/>
      <c r="D17" s="4"/>
      <c r="E17" s="4"/>
      <c r="F17" s="2"/>
      <c r="G17" s="4"/>
      <c r="H17" s="4"/>
      <c r="I17" s="2"/>
      <c r="J17" s="5" t="str">
        <f t="shared" si="2"/>
        <v/>
      </c>
      <c r="K17" s="5" t="str">
        <f t="shared" si="1"/>
        <v/>
      </c>
      <c r="L17" s="2"/>
      <c r="M17" s="4"/>
      <c r="N17" s="4"/>
      <c r="O17" s="4"/>
      <c r="P17" s="2"/>
      <c r="Q17" s="4"/>
      <c r="R17" s="4"/>
      <c r="S17" s="2"/>
    </row>
  </sheetData>
  <mergeCells count="2">
    <mergeCell ref="A1:S1"/>
    <mergeCell ref="A2:S2"/>
  </mergeCells>
  <dataValidations count="4">
    <dataValidation type="list" allowBlank="1" errorTitle="Valor inválido" error="Selecione um valor da lista." sqref="C4:C17" xr:uid="{00000000-0002-0000-0000-000000000000}">
      <formula1>"Desvio,Lição Aprendida,Melhoria,Indicador"</formula1>
      <formula2>0</formula2>
    </dataValidation>
    <dataValidation type="list" allowBlank="1" errorTitle="Valor inválido" error="Selecione um valor da lista." sqref="I4:I17" xr:uid="{00000000-0002-0000-0000-000001000000}">
      <formula1>"Alto,Médio,Baixo"</formula1>
      <formula2>0</formula2>
    </dataValidation>
    <dataValidation type="list" allowBlank="1" errorTitle="Valor inválido" error="Selecione um valor da lista." sqref="M4:M17" xr:uid="{00000000-0002-0000-0000-000002000000}">
      <formula1>"Tratar,Monitorar,Arquivar / Divulgar"</formula1>
      <formula2>0</formula2>
    </dataValidation>
    <dataValidation type="list" allowBlank="1" errorTitle="Valor inválido" error="Selecione um valor da lista." sqref="S4:S17" xr:uid="{00000000-0002-0000-0000-000003000000}">
      <formula1>"Aberto,Em triagem,Em observação,Em ação,Fechado,Divulgado"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C23"/>
  <sheetViews>
    <sheetView showGridLines="0" topLeftCell="A4" zoomScaleNormal="100" workbookViewId="0">
      <selection activeCell="B9" sqref="B9"/>
    </sheetView>
  </sheetViews>
  <sheetFormatPr defaultColWidth="8.7109375" defaultRowHeight="15" x14ac:dyDescent="0.25"/>
  <cols>
    <col min="1" max="1" width="22" customWidth="1"/>
    <col min="2" max="2" width="78" customWidth="1"/>
    <col min="3" max="3" width="20" customWidth="1"/>
  </cols>
  <sheetData>
    <row r="1" spans="1:3" ht="24" customHeight="1" x14ac:dyDescent="0.25">
      <c r="A1" s="11" t="s">
        <v>27</v>
      </c>
      <c r="B1" s="11"/>
      <c r="C1" s="11"/>
    </row>
    <row r="2" spans="1:3" ht="19.5" customHeight="1" x14ac:dyDescent="0.25">
      <c r="A2" s="6" t="s">
        <v>28</v>
      </c>
      <c r="B2" s="6" t="s">
        <v>29</v>
      </c>
      <c r="C2" s="6" t="s">
        <v>30</v>
      </c>
    </row>
    <row r="3" spans="1:3" ht="42" customHeight="1" x14ac:dyDescent="0.25">
      <c r="A3" s="7" t="s">
        <v>2</v>
      </c>
      <c r="B3" s="8" t="s">
        <v>31</v>
      </c>
      <c r="C3" s="2" t="s">
        <v>32</v>
      </c>
    </row>
    <row r="4" spans="1:3" ht="30" customHeight="1" x14ac:dyDescent="0.25">
      <c r="A4" s="7" t="s">
        <v>3</v>
      </c>
      <c r="B4" s="8" t="s">
        <v>33</v>
      </c>
      <c r="C4" s="2" t="s">
        <v>32</v>
      </c>
    </row>
    <row r="5" spans="1:3" ht="30" customHeight="1" x14ac:dyDescent="0.25">
      <c r="A5" s="7" t="s">
        <v>4</v>
      </c>
      <c r="B5" s="10" t="s">
        <v>66</v>
      </c>
      <c r="C5" s="2" t="s">
        <v>34</v>
      </c>
    </row>
    <row r="6" spans="1:3" ht="42" customHeight="1" x14ac:dyDescent="0.25">
      <c r="A6" s="7" t="s">
        <v>5</v>
      </c>
      <c r="B6" s="8" t="s">
        <v>35</v>
      </c>
      <c r="C6" s="2" t="s">
        <v>32</v>
      </c>
    </row>
    <row r="7" spans="1:3" ht="30" customHeight="1" x14ac:dyDescent="0.25">
      <c r="A7" s="7" t="s">
        <v>6</v>
      </c>
      <c r="B7" s="8" t="s">
        <v>36</v>
      </c>
      <c r="C7" s="2" t="s">
        <v>32</v>
      </c>
    </row>
    <row r="8" spans="1:3" ht="42" customHeight="1" x14ac:dyDescent="0.25">
      <c r="A8" s="7" t="s">
        <v>7</v>
      </c>
      <c r="B8" s="8" t="s">
        <v>37</v>
      </c>
      <c r="C8" s="2" t="s">
        <v>32</v>
      </c>
    </row>
    <row r="9" spans="1:3" ht="42" customHeight="1" x14ac:dyDescent="0.25">
      <c r="A9" s="7" t="s">
        <v>8</v>
      </c>
      <c r="B9" s="8" t="s">
        <v>38</v>
      </c>
      <c r="C9" s="2" t="s">
        <v>39</v>
      </c>
    </row>
    <row r="10" spans="1:3" ht="30" customHeight="1" x14ac:dyDescent="0.25">
      <c r="A10" s="7" t="s">
        <v>9</v>
      </c>
      <c r="B10" s="8" t="s">
        <v>40</v>
      </c>
      <c r="C10" s="2" t="s">
        <v>32</v>
      </c>
    </row>
    <row r="11" spans="1:3" ht="30" customHeight="1" x14ac:dyDescent="0.25">
      <c r="A11" s="7" t="s">
        <v>10</v>
      </c>
      <c r="B11" s="10" t="s">
        <v>64</v>
      </c>
      <c r="C11" s="2" t="s">
        <v>34</v>
      </c>
    </row>
    <row r="12" spans="1:3" ht="42" customHeight="1" x14ac:dyDescent="0.25">
      <c r="A12" s="7" t="s">
        <v>41</v>
      </c>
      <c r="B12" s="8" t="s">
        <v>42</v>
      </c>
      <c r="C12" s="9" t="s">
        <v>43</v>
      </c>
    </row>
    <row r="13" spans="1:3" ht="42" customHeight="1" x14ac:dyDescent="0.25">
      <c r="A13" s="7" t="s">
        <v>44</v>
      </c>
      <c r="B13" s="8" t="s">
        <v>45</v>
      </c>
      <c r="C13" s="9" t="s">
        <v>43</v>
      </c>
    </row>
    <row r="14" spans="1:3" ht="42" customHeight="1" x14ac:dyDescent="0.25">
      <c r="A14" s="7" t="s">
        <v>13</v>
      </c>
      <c r="B14" s="8" t="s">
        <v>46</v>
      </c>
      <c r="C14" s="2" t="s">
        <v>32</v>
      </c>
    </row>
    <row r="15" spans="1:3" ht="42" customHeight="1" x14ac:dyDescent="0.25">
      <c r="A15" s="7" t="s">
        <v>14</v>
      </c>
      <c r="B15" s="10" t="s">
        <v>65</v>
      </c>
      <c r="C15" s="2" t="s">
        <v>34</v>
      </c>
    </row>
    <row r="16" spans="1:3" ht="42" customHeight="1" x14ac:dyDescent="0.25">
      <c r="A16" s="7" t="s">
        <v>15</v>
      </c>
      <c r="B16" s="8" t="s">
        <v>47</v>
      </c>
      <c r="C16" s="2" t="s">
        <v>32</v>
      </c>
    </row>
    <row r="17" spans="1:3" ht="30" customHeight="1" x14ac:dyDescent="0.25">
      <c r="A17" s="7" t="s">
        <v>48</v>
      </c>
      <c r="B17" s="8" t="s">
        <v>49</v>
      </c>
      <c r="C17" s="2" t="s">
        <v>32</v>
      </c>
    </row>
    <row r="18" spans="1:3" ht="30" customHeight="1" x14ac:dyDescent="0.25">
      <c r="A18" s="7" t="s">
        <v>17</v>
      </c>
      <c r="B18" s="8" t="s">
        <v>50</v>
      </c>
      <c r="C18" s="2" t="s">
        <v>32</v>
      </c>
    </row>
    <row r="19" spans="1:3" ht="42" customHeight="1" x14ac:dyDescent="0.25">
      <c r="A19" s="7" t="s">
        <v>51</v>
      </c>
      <c r="B19" s="8" t="s">
        <v>52</v>
      </c>
      <c r="C19" s="2" t="s">
        <v>32</v>
      </c>
    </row>
    <row r="20" spans="1:3" ht="42" customHeight="1" x14ac:dyDescent="0.25">
      <c r="A20" s="7" t="s">
        <v>19</v>
      </c>
      <c r="B20" s="8" t="s">
        <v>53</v>
      </c>
      <c r="C20" s="2" t="s">
        <v>32</v>
      </c>
    </row>
    <row r="21" spans="1:3" ht="30" customHeight="1" x14ac:dyDescent="0.25">
      <c r="A21" s="7" t="s">
        <v>20</v>
      </c>
      <c r="B21" s="8" t="s">
        <v>54</v>
      </c>
      <c r="C21" s="2" t="s">
        <v>34</v>
      </c>
    </row>
    <row r="23" spans="1:3" ht="31.5" customHeight="1" x14ac:dyDescent="0.25">
      <c r="A23" s="13" t="s">
        <v>55</v>
      </c>
      <c r="B23" s="13"/>
      <c r="C23" s="13"/>
    </row>
  </sheetData>
  <mergeCells count="2">
    <mergeCell ref="A1:C1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- Filtrovali</cp:lastModifiedBy>
  <cp:revision>0</cp:revision>
  <dcterms:created xsi:type="dcterms:W3CDTF">2026-07-15T14:03:31Z</dcterms:created>
  <dcterms:modified xsi:type="dcterms:W3CDTF">2026-07-22T13:02:27Z</dcterms:modified>
  <dc:language>en-US</dc:language>
</cp:coreProperties>
</file>